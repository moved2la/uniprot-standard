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boldi\Dropbox\_ProductDevelopment\uniprot-standard\outputs\standard\"/>
    </mc:Choice>
  </mc:AlternateContent>
  <bookViews>
    <workbookView xWindow="0" yWindow="0" windowWidth="23655" windowHeight="10395"/>
  </bookViews>
  <sheets>
    <sheet name="_calculated_amino_acid_standard" sheetId="1" r:id="rId1"/>
  </sheets>
  <calcPr calcId="0"/>
</workbook>
</file>

<file path=xl/calcChain.xml><?xml version="1.0" encoding="utf-8"?>
<calcChain xmlns="http://schemas.openxmlformats.org/spreadsheetml/2006/main">
  <c r="G6" i="1" l="1"/>
  <c r="G19" i="1"/>
  <c r="G18" i="1"/>
  <c r="G9" i="1"/>
  <c r="G10" i="1"/>
  <c r="G11" i="1"/>
  <c r="G12" i="1"/>
  <c r="G8" i="1"/>
  <c r="G22" i="1" s="1"/>
  <c r="H19" i="1" l="1"/>
  <c r="H11" i="1"/>
  <c r="H18" i="1"/>
  <c r="H10" i="1"/>
  <c r="H12" i="1"/>
  <c r="H6" i="1"/>
  <c r="H9" i="1"/>
  <c r="H8" i="1"/>
</calcChain>
</file>

<file path=xl/sharedStrings.xml><?xml version="1.0" encoding="utf-8"?>
<sst xmlns="http://schemas.openxmlformats.org/spreadsheetml/2006/main" count="66" uniqueCount="66">
  <si>
    <t>amino_acid</t>
  </si>
  <si>
    <t>three_letter</t>
  </si>
  <si>
    <t>name</t>
  </si>
  <si>
    <t>skeletal_muscle</t>
  </si>
  <si>
    <t>blood</t>
  </si>
  <si>
    <t>composite</t>
  </si>
  <si>
    <t>A</t>
  </si>
  <si>
    <t>Ala</t>
  </si>
  <si>
    <t>Alanine</t>
  </si>
  <si>
    <t>C</t>
  </si>
  <si>
    <t>Cys</t>
  </si>
  <si>
    <t>Cysteine</t>
  </si>
  <si>
    <t>D</t>
  </si>
  <si>
    <t>Asp</t>
  </si>
  <si>
    <t>Aspartic acid</t>
  </si>
  <si>
    <t>E</t>
  </si>
  <si>
    <t>Glu</t>
  </si>
  <si>
    <t>Glutamic acid</t>
  </si>
  <si>
    <t>F</t>
  </si>
  <si>
    <t>Phe</t>
  </si>
  <si>
    <t>Phenylalanine</t>
  </si>
  <si>
    <t>G</t>
  </si>
  <si>
    <t>Gly</t>
  </si>
  <si>
    <t>Glycine</t>
  </si>
  <si>
    <t>H</t>
  </si>
  <si>
    <t>His</t>
  </si>
  <si>
    <t>Histidine</t>
  </si>
  <si>
    <t>I</t>
  </si>
  <si>
    <t>Ile</t>
  </si>
  <si>
    <t>Isoleucine</t>
  </si>
  <si>
    <t>K</t>
  </si>
  <si>
    <t>Lys</t>
  </si>
  <si>
    <t>Lysine</t>
  </si>
  <si>
    <t>L</t>
  </si>
  <si>
    <t>Leu</t>
  </si>
  <si>
    <t>Leucine</t>
  </si>
  <si>
    <t>M</t>
  </si>
  <si>
    <t>Met</t>
  </si>
  <si>
    <t>Methionine</t>
  </si>
  <si>
    <t>N</t>
  </si>
  <si>
    <t>Asn</t>
  </si>
  <si>
    <t>Asparagine</t>
  </si>
  <si>
    <t>P</t>
  </si>
  <si>
    <t>Pro</t>
  </si>
  <si>
    <t>Proline</t>
  </si>
  <si>
    <t>Q</t>
  </si>
  <si>
    <t>Gln</t>
  </si>
  <si>
    <t>Glutamine</t>
  </si>
  <si>
    <t>R</t>
  </si>
  <si>
    <t>Arg</t>
  </si>
  <si>
    <t>Arginine</t>
  </si>
  <si>
    <t>S</t>
  </si>
  <si>
    <t>Ser</t>
  </si>
  <si>
    <t>Serine</t>
  </si>
  <si>
    <t>T</t>
  </si>
  <si>
    <t>Thr</t>
  </si>
  <si>
    <t>Threonine</t>
  </si>
  <si>
    <t>V</t>
  </si>
  <si>
    <t>Val</t>
  </si>
  <si>
    <t>Valine</t>
  </si>
  <si>
    <t>W</t>
  </si>
  <si>
    <t>Trp</t>
  </si>
  <si>
    <t>Tryptophan</t>
  </si>
  <si>
    <t>Y</t>
  </si>
  <si>
    <t>Tyr</t>
  </si>
  <si>
    <t>Tyrosine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</si>
</sst>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2"/>
  <sheetViews>
    <sheetView tabSelected="1" workbookViewId="0">
      <selection activeCell="D30" sqref="D3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 t="s">
        <v>6</v>
      </c>
      <c r="B2" t="s">
        <v>7</v>
      </c>
      <c r="C2" t="s">
        <v>8</v>
      </c>
      <c r="D2">
        <v>5.4097</v>
      </c>
      <c r="E2">
        <v>6.8456471329999999</v>
      </c>
      <c r="F2">
        <v>5.7929301320000004</v>
      </c>
    </row>
    <row r="3" spans="1:8" x14ac:dyDescent="0.25">
      <c r="A3" t="s">
        <v>9</v>
      </c>
      <c r="B3" t="s">
        <v>10</v>
      </c>
      <c r="C3" t="s">
        <v>11</v>
      </c>
      <c r="D3">
        <v>1.1870000000000001</v>
      </c>
      <c r="E3">
        <v>1.3034576950000001</v>
      </c>
      <c r="F3">
        <v>1.2180806</v>
      </c>
    </row>
    <row r="4" spans="1:8" x14ac:dyDescent="0.25">
      <c r="A4" t="s">
        <v>12</v>
      </c>
      <c r="B4" t="s">
        <v>13</v>
      </c>
      <c r="C4" t="s">
        <v>14</v>
      </c>
      <c r="D4">
        <v>5.8150000000000004</v>
      </c>
      <c r="E4">
        <v>5.7818665239999998</v>
      </c>
      <c r="F4">
        <v>5.8061572330000004</v>
      </c>
    </row>
    <row r="5" spans="1:8" x14ac:dyDescent="0.25">
      <c r="A5" t="s">
        <v>15</v>
      </c>
      <c r="B5" t="s">
        <v>16</v>
      </c>
      <c r="C5" t="s">
        <v>17</v>
      </c>
      <c r="D5">
        <v>11.220700000000001</v>
      </c>
      <c r="E5">
        <v>6.7965371599999997</v>
      </c>
      <c r="F5">
        <v>10.039965370000001</v>
      </c>
    </row>
    <row r="6" spans="1:8" x14ac:dyDescent="0.25">
      <c r="A6" t="s">
        <v>18</v>
      </c>
      <c r="B6" t="s">
        <v>19</v>
      </c>
      <c r="C6" t="s">
        <v>20</v>
      </c>
      <c r="D6">
        <v>4.0278</v>
      </c>
      <c r="E6">
        <v>6.0345453149999999</v>
      </c>
      <c r="F6">
        <v>4.5633665639999998</v>
      </c>
      <c r="G6">
        <f t="shared" ref="G6" si="0">F6</f>
        <v>4.5633665639999998</v>
      </c>
      <c r="H6">
        <f>G6/($G$22/$H$22)</f>
        <v>3.240532900127759</v>
      </c>
    </row>
    <row r="7" spans="1:8" x14ac:dyDescent="0.25">
      <c r="A7" t="s">
        <v>21</v>
      </c>
      <c r="B7" t="s">
        <v>22</v>
      </c>
      <c r="C7" t="s">
        <v>23</v>
      </c>
      <c r="D7">
        <v>3.4087999999999998</v>
      </c>
      <c r="E7">
        <v>4.0316775969999998</v>
      </c>
      <c r="F7">
        <v>3.575035551</v>
      </c>
    </row>
    <row r="8" spans="1:8" x14ac:dyDescent="0.25">
      <c r="A8" t="s">
        <v>24</v>
      </c>
      <c r="B8" t="s">
        <v>25</v>
      </c>
      <c r="C8" t="s">
        <v>26</v>
      </c>
      <c r="D8">
        <v>2.5676000000000001</v>
      </c>
      <c r="E8">
        <v>5.4111362710000002</v>
      </c>
      <c r="F8">
        <v>3.3264919919999998</v>
      </c>
      <c r="G8">
        <f>F8</f>
        <v>3.3264919919999998</v>
      </c>
      <c r="H8">
        <f t="shared" ref="H7:H12" si="1">G8/($G$22/$H$22)</f>
        <v>2.3622048746043989</v>
      </c>
    </row>
    <row r="9" spans="1:8" x14ac:dyDescent="0.25">
      <c r="A9" t="s">
        <v>27</v>
      </c>
      <c r="B9" t="s">
        <v>28</v>
      </c>
      <c r="C9" t="s">
        <v>29</v>
      </c>
      <c r="D9">
        <v>5.4316000000000004</v>
      </c>
      <c r="E9">
        <v>2.3435405450000002</v>
      </c>
      <c r="F9">
        <v>4.6074488840000001</v>
      </c>
      <c r="G9">
        <f t="shared" ref="G9:G12" si="2">F9</f>
        <v>4.6074488840000001</v>
      </c>
      <c r="H9">
        <f t="shared" si="1"/>
        <v>3.2718365892508054</v>
      </c>
    </row>
    <row r="10" spans="1:8" x14ac:dyDescent="0.25">
      <c r="A10" t="s">
        <v>30</v>
      </c>
      <c r="B10" t="s">
        <v>31</v>
      </c>
      <c r="C10" t="s">
        <v>32</v>
      </c>
      <c r="D10">
        <v>9.4417000000000009</v>
      </c>
      <c r="E10">
        <v>8.2913451269999996</v>
      </c>
      <c r="F10">
        <v>9.1346896379999993</v>
      </c>
      <c r="G10">
        <f t="shared" si="2"/>
        <v>9.1346896379999993</v>
      </c>
      <c r="H10">
        <f t="shared" si="1"/>
        <v>6.4867158684811557</v>
      </c>
    </row>
    <row r="11" spans="1:8" x14ac:dyDescent="0.25">
      <c r="A11" t="s">
        <v>33</v>
      </c>
      <c r="B11" t="s">
        <v>34</v>
      </c>
      <c r="C11" t="s">
        <v>35</v>
      </c>
      <c r="D11">
        <v>8.4</v>
      </c>
      <c r="E11">
        <v>11.30804917</v>
      </c>
      <c r="F11">
        <v>9.1761093989999996</v>
      </c>
      <c r="G11">
        <f t="shared" si="2"/>
        <v>9.1761093989999996</v>
      </c>
      <c r="H11">
        <f t="shared" si="1"/>
        <v>6.5161288241036113</v>
      </c>
    </row>
    <row r="12" spans="1:8" x14ac:dyDescent="0.25">
      <c r="A12" t="s">
        <v>36</v>
      </c>
      <c r="B12" t="s">
        <v>37</v>
      </c>
      <c r="C12" t="s">
        <v>38</v>
      </c>
      <c r="D12">
        <v>2.6556999999999999</v>
      </c>
      <c r="E12">
        <v>1.637037565</v>
      </c>
      <c r="F12">
        <v>2.3838361340000001</v>
      </c>
      <c r="G12">
        <f t="shared" si="2"/>
        <v>2.3838361340000001</v>
      </c>
      <c r="H12">
        <f t="shared" si="1"/>
        <v>1.6928071221982082</v>
      </c>
    </row>
    <row r="13" spans="1:8" x14ac:dyDescent="0.25">
      <c r="A13" t="s">
        <v>39</v>
      </c>
      <c r="B13" t="s">
        <v>40</v>
      </c>
      <c r="C13" t="s">
        <v>41</v>
      </c>
      <c r="D13">
        <v>3.5912000000000002</v>
      </c>
      <c r="E13">
        <v>3.907390887</v>
      </c>
      <c r="F13">
        <v>3.6755860280000001</v>
      </c>
    </row>
    <row r="14" spans="1:8" x14ac:dyDescent="0.25">
      <c r="A14" t="s">
        <v>42</v>
      </c>
      <c r="B14" t="s">
        <v>43</v>
      </c>
      <c r="C14" t="s">
        <v>44</v>
      </c>
      <c r="D14">
        <v>4.1790000000000003</v>
      </c>
      <c r="E14">
        <v>4.4881828190000004</v>
      </c>
      <c r="F14">
        <v>4.2615156929999998</v>
      </c>
    </row>
    <row r="15" spans="1:8" x14ac:dyDescent="0.25">
      <c r="A15" t="s">
        <v>45</v>
      </c>
      <c r="B15" t="s">
        <v>46</v>
      </c>
      <c r="C15" t="s">
        <v>47</v>
      </c>
      <c r="D15">
        <v>4.6840000000000002</v>
      </c>
      <c r="E15">
        <v>3.4529400809999999</v>
      </c>
      <c r="F15">
        <v>4.3554508189999996</v>
      </c>
    </row>
    <row r="16" spans="1:8" x14ac:dyDescent="0.25">
      <c r="A16" t="s">
        <v>48</v>
      </c>
      <c r="B16" t="s">
        <v>49</v>
      </c>
      <c r="C16" t="s">
        <v>50</v>
      </c>
      <c r="D16">
        <v>6.8903999999999996</v>
      </c>
      <c r="E16">
        <v>4.6071264330000004</v>
      </c>
      <c r="F16">
        <v>6.2810326979999997</v>
      </c>
    </row>
    <row r="17" spans="1:8" x14ac:dyDescent="0.25">
      <c r="A17" t="s">
        <v>51</v>
      </c>
      <c r="B17" t="s">
        <v>52</v>
      </c>
      <c r="C17" t="s">
        <v>53</v>
      </c>
      <c r="D17">
        <v>4.7424999999999997</v>
      </c>
      <c r="E17">
        <v>5.0421040240000004</v>
      </c>
      <c r="F17">
        <v>4.8224592739999999</v>
      </c>
    </row>
    <row r="18" spans="1:8" x14ac:dyDescent="0.25">
      <c r="A18" t="s">
        <v>54</v>
      </c>
      <c r="B18" t="s">
        <v>55</v>
      </c>
      <c r="C18" t="s">
        <v>56</v>
      </c>
      <c r="D18">
        <v>5.0652999999999997</v>
      </c>
      <c r="E18">
        <v>5.0435711630000002</v>
      </c>
      <c r="F18">
        <v>5.0595009390000003</v>
      </c>
      <c r="G18">
        <f t="shared" ref="G18:G19" si="3">F18</f>
        <v>5.0595009390000003</v>
      </c>
      <c r="H18">
        <f t="shared" ref="H18:H19" si="4">G18/($G$22/$H$22)</f>
        <v>3.5928473027784564</v>
      </c>
    </row>
    <row r="19" spans="1:8" x14ac:dyDescent="0.25">
      <c r="A19" t="s">
        <v>57</v>
      </c>
      <c r="B19" t="s">
        <v>58</v>
      </c>
      <c r="C19" t="s">
        <v>59</v>
      </c>
      <c r="D19">
        <v>5.9264999999999999</v>
      </c>
      <c r="E19">
        <v>8.1869976740000006</v>
      </c>
      <c r="F19">
        <v>6.5297887990000003</v>
      </c>
      <c r="G19">
        <f t="shared" si="3"/>
        <v>6.5297887990000003</v>
      </c>
      <c r="H19">
        <f t="shared" si="4"/>
        <v>4.6369265184556037</v>
      </c>
    </row>
    <row r="20" spans="1:8" x14ac:dyDescent="0.25">
      <c r="A20" t="s">
        <v>60</v>
      </c>
      <c r="B20" t="s">
        <v>61</v>
      </c>
      <c r="C20" t="s">
        <v>62</v>
      </c>
      <c r="D20">
        <v>1.5409999999999999</v>
      </c>
      <c r="E20">
        <v>1.913944444</v>
      </c>
      <c r="F20">
        <v>1.6405325980000001</v>
      </c>
    </row>
    <row r="21" spans="1:8" x14ac:dyDescent="0.25">
      <c r="A21" t="s">
        <v>63</v>
      </c>
      <c r="B21" t="s">
        <v>64</v>
      </c>
      <c r="C21" t="s">
        <v>65</v>
      </c>
      <c r="D21">
        <v>3.8144</v>
      </c>
      <c r="E21">
        <v>3.57290237</v>
      </c>
      <c r="F21">
        <v>3.749948345</v>
      </c>
    </row>
    <row r="22" spans="1:8" x14ac:dyDescent="0.25">
      <c r="G22">
        <f>SUM(G6:G21)</f>
        <v>44.781232349</v>
      </c>
      <c r="H22">
        <v>31.8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_calculated_amino_acid_standard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Boldin</dc:creator>
  <cp:lastModifiedBy>Anthony Boldin</cp:lastModifiedBy>
  <dcterms:created xsi:type="dcterms:W3CDTF">2026-09-20T02:21:44Z</dcterms:created>
  <dcterms:modified xsi:type="dcterms:W3CDTF">2026-09-20T04:41:29Z</dcterms:modified>
</cp:coreProperties>
</file>